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laragon\www\fpt\dokumen\"/>
    </mc:Choice>
  </mc:AlternateContent>
  <xr:revisionPtr revIDLastSave="0" documentId="13_ncr:1_{B4E1F662-62F0-4702-899E-3331E9E85691}" xr6:coauthVersionLast="47" xr6:coauthVersionMax="47" xr10:uidLastSave="{00000000-0000-0000-0000-000000000000}"/>
  <bookViews>
    <workbookView xWindow="-108" yWindow="-108" windowWidth="23256" windowHeight="12456" xr2:uid="{3BBB346A-0716-41F9-A1C0-24EDF53FA785}"/>
  </bookViews>
  <sheets>
    <sheet name="margi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4" i="1" l="1"/>
  <c r="C19" i="1"/>
  <c r="D19" i="1" s="1"/>
  <c r="C18" i="1"/>
  <c r="B18" i="1"/>
  <c r="B20" i="1" s="1"/>
  <c r="E13" i="1"/>
  <c r="F13" i="1" s="1"/>
  <c r="E12" i="1"/>
  <c r="F12" i="1" s="1"/>
  <c r="E11" i="1"/>
  <c r="F11" i="1" s="1"/>
  <c r="F14" i="1" s="1"/>
  <c r="B6" i="1"/>
  <c r="D5" i="1"/>
  <c r="D4" i="1"/>
  <c r="D6" i="1" s="1"/>
  <c r="D23" i="1" s="1"/>
  <c r="D25" i="1" l="1"/>
  <c r="D26" i="1" s="1"/>
  <c r="D18" i="1"/>
  <c r="D20" i="1" s="1"/>
  <c r="D24" i="1" s="1"/>
</calcChain>
</file>

<file path=xl/sharedStrings.xml><?xml version="1.0" encoding="utf-8"?>
<sst xmlns="http://schemas.openxmlformats.org/spreadsheetml/2006/main" count="31" uniqueCount="19">
  <si>
    <t xml:space="preserve"> Tabel Permintaan KakakTua</t>
  </si>
  <si>
    <t>Size</t>
  </si>
  <si>
    <t>KG</t>
  </si>
  <si>
    <t>Harga</t>
  </si>
  <si>
    <t>Total</t>
  </si>
  <si>
    <t>500UP</t>
  </si>
  <si>
    <t>300-500</t>
  </si>
  <si>
    <t>Tabel Penawaran Kakaktua</t>
  </si>
  <si>
    <t>Total Biaya Packing, proses dll</t>
  </si>
  <si>
    <t>Harga HPP</t>
  </si>
  <si>
    <t>200-300 (UNDERSIZE)</t>
  </si>
  <si>
    <t>Tabel Hitung Margin</t>
  </si>
  <si>
    <t>KG Permintaan</t>
  </si>
  <si>
    <t>Harga HPP Penawaran</t>
  </si>
  <si>
    <t>TOTAL MARGIN</t>
  </si>
  <si>
    <t>Total Permintaan</t>
  </si>
  <si>
    <t>Total Margin</t>
  </si>
  <si>
    <t>Profit</t>
  </si>
  <si>
    <t>Profit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</si>
</sst>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p&quot;* #,##0.00_-;\-&quot;Rp&quot;* #,##0.00_-;_-&quot;Rp&quot;* &quot;-&quot;??_-;_-@_-"/>
    <numFmt numFmtId="164" formatCode="_-&quot;Rp&quot;* #,##0_-;\-&quot;Rp&quot;* #,##0_-;_-&quot;Rp&quot;* &quot;-&quot;??_-;_-@_-"/>
  </numFmts>
  <fonts count="3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6">
    <xf numFmtId="0" fontId="0" fillId="0" borderId="0" xfId="0"/>
    <xf numFmtId="0" fontId="2" fillId="0" borderId="1" xfId="0" applyFont="1" applyBorder="1"/>
    <xf numFmtId="0" fontId="0" fillId="0" borderId="1" xfId="0" applyBorder="1"/>
    <xf numFmtId="164" fontId="0" fillId="0" borderId="1" xfId="1" applyNumberFormat="1" applyFont="1" applyBorder="1"/>
    <xf numFmtId="164" fontId="2" fillId="0" borderId="1" xfId="0" applyNumberFormat="1" applyFont="1" applyBorder="1"/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 wrapText="1"/>
    </xf>
    <xf numFmtId="164" fontId="2" fillId="0" borderId="1" xfId="1" applyNumberFormat="1" applyFont="1" applyFill="1" applyBorder="1" applyAlignment="1">
      <alignment horizontal="center" vertical="center"/>
    </xf>
    <xf numFmtId="164" fontId="0" fillId="0" borderId="1" xfId="1" applyNumberFormat="1" applyFont="1" applyBorder="1" applyAlignment="1">
      <alignment horizontal="center"/>
    </xf>
    <xf numFmtId="164" fontId="0" fillId="0" borderId="1" xfId="0" applyNumberFormat="1" applyBorder="1"/>
    <xf numFmtId="164" fontId="0" fillId="0" borderId="0" xfId="0" applyNumberFormat="1"/>
    <xf numFmtId="0" fontId="0" fillId="0" borderId="2" xfId="0" applyBorder="1"/>
    <xf numFmtId="164" fontId="0" fillId="0" borderId="2" xfId="0" applyNumberFormat="1" applyBorder="1"/>
    <xf numFmtId="0" fontId="2" fillId="0" borderId="0" xfId="0" applyFont="1"/>
    <xf numFmtId="164" fontId="2" fillId="0" borderId="0" xfId="0" applyNumberFormat="1" applyFont="1"/>
    <xf numFmtId="9" fontId="2" fillId="0" borderId="0" xfId="2" applyFont="1"/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CCEFEB-D900-4A9D-87BB-A98774DDCA18}">
  <dimension ref="A2:F26"/>
  <sheetViews>
    <sheetView tabSelected="1" workbookViewId="0">
      <selection activeCell="F18" sqref="F18"/>
    </sheetView>
  </sheetViews>
  <sheetFormatPr defaultRowHeight="14.4" x14ac:dyDescent="0.3"/>
  <cols>
    <col min="1" max="1" width="18.77734375" bestFit="1" customWidth="1"/>
    <col min="2" max="2" width="13.6640625" bestFit="1" customWidth="1"/>
    <col min="3" max="3" width="19.88671875" bestFit="1" customWidth="1"/>
    <col min="4" max="4" width="18.21875" customWidth="1"/>
    <col min="5" max="5" width="16.109375" customWidth="1"/>
    <col min="6" max="6" width="21" customWidth="1"/>
  </cols>
  <sheetData>
    <row r="2" spans="1:6" x14ac:dyDescent="0.3">
      <c r="A2" s="13" t="s">
        <v>0</v>
      </c>
    </row>
    <row r="3" spans="1:6" x14ac:dyDescent="0.3">
      <c r="A3" s="1" t="s">
        <v>1</v>
      </c>
      <c r="B3" s="1" t="s">
        <v>2</v>
      </c>
      <c r="C3" s="1" t="s">
        <v>3</v>
      </c>
      <c r="D3" s="1" t="s">
        <v>4</v>
      </c>
    </row>
    <row r="4" spans="1:6" x14ac:dyDescent="0.3">
      <c r="A4" s="2" t="s">
        <v>5</v>
      </c>
      <c r="B4" s="3">
        <v>5000</v>
      </c>
      <c r="C4" s="3">
        <v>48000</v>
      </c>
      <c r="D4" s="3">
        <f>B4*C4</f>
        <v>240000000</v>
      </c>
    </row>
    <row r="5" spans="1:6" x14ac:dyDescent="0.3">
      <c r="A5" s="2" t="s">
        <v>6</v>
      </c>
      <c r="B5" s="3">
        <v>3000</v>
      </c>
      <c r="C5" s="3">
        <v>34000</v>
      </c>
      <c r="D5" s="3">
        <f>B5*C5</f>
        <v>102000000</v>
      </c>
    </row>
    <row r="6" spans="1:6" x14ac:dyDescent="0.3">
      <c r="A6" s="1" t="s">
        <v>4</v>
      </c>
      <c r="B6" s="4">
        <f>SUM(B4:B5)</f>
        <v>8000</v>
      </c>
      <c r="C6" s="1"/>
      <c r="D6" s="4">
        <f>SUM(D4:D5)</f>
        <v>342000000</v>
      </c>
    </row>
    <row r="9" spans="1:6" x14ac:dyDescent="0.3">
      <c r="A9" s="13" t="s">
        <v>7</v>
      </c>
    </row>
    <row r="10" spans="1:6" ht="28.8" x14ac:dyDescent="0.3">
      <c r="A10" s="5" t="s">
        <v>1</v>
      </c>
      <c r="B10" s="5" t="s">
        <v>2</v>
      </c>
      <c r="C10" s="5" t="s">
        <v>3</v>
      </c>
      <c r="D10" s="6" t="s">
        <v>8</v>
      </c>
      <c r="E10" s="5" t="s">
        <v>9</v>
      </c>
      <c r="F10" s="7" t="s">
        <v>4</v>
      </c>
    </row>
    <row r="11" spans="1:6" x14ac:dyDescent="0.3">
      <c r="A11" s="2" t="s">
        <v>5</v>
      </c>
      <c r="B11" s="3">
        <v>2000</v>
      </c>
      <c r="C11" s="3">
        <v>29000</v>
      </c>
      <c r="D11" s="3">
        <v>5000</v>
      </c>
      <c r="E11" s="3">
        <f>C11+D11</f>
        <v>34000</v>
      </c>
      <c r="F11" s="8">
        <f>E11*B11</f>
        <v>68000000</v>
      </c>
    </row>
    <row r="12" spans="1:6" x14ac:dyDescent="0.3">
      <c r="A12" s="2" t="s">
        <v>6</v>
      </c>
      <c r="B12" s="3">
        <v>1000</v>
      </c>
      <c r="C12" s="3">
        <v>12000</v>
      </c>
      <c r="D12" s="3">
        <v>5000</v>
      </c>
      <c r="E12" s="3">
        <f t="shared" ref="E12:E13" si="0">C12+D12</f>
        <v>17000</v>
      </c>
      <c r="F12" s="8">
        <f t="shared" ref="F12:F13" si="1">E12*B12</f>
        <v>17000000</v>
      </c>
    </row>
    <row r="13" spans="1:6" x14ac:dyDescent="0.3">
      <c r="A13" s="2" t="s">
        <v>10</v>
      </c>
      <c r="B13" s="3">
        <v>500</v>
      </c>
      <c r="C13" s="3">
        <v>10000</v>
      </c>
      <c r="D13" s="3">
        <v>5000</v>
      </c>
      <c r="E13" s="3">
        <f t="shared" si="0"/>
        <v>15000</v>
      </c>
      <c r="F13" s="8">
        <f t="shared" si="1"/>
        <v>7500000</v>
      </c>
    </row>
    <row r="14" spans="1:6" x14ac:dyDescent="0.3">
      <c r="A14" s="1" t="s">
        <v>4</v>
      </c>
      <c r="B14" s="4">
        <f>SUM(B11:B13)</f>
        <v>3500</v>
      </c>
      <c r="C14" s="1"/>
      <c r="D14" s="3"/>
      <c r="E14" s="4"/>
      <c r="F14" s="9">
        <f>SUM(F11:F13)</f>
        <v>92500000</v>
      </c>
    </row>
    <row r="16" spans="1:6" x14ac:dyDescent="0.3">
      <c r="A16" s="13" t="s">
        <v>11</v>
      </c>
    </row>
    <row r="17" spans="1:4" x14ac:dyDescent="0.3">
      <c r="A17" s="1" t="s">
        <v>1</v>
      </c>
      <c r="B17" s="1" t="s">
        <v>12</v>
      </c>
      <c r="C17" s="1" t="s">
        <v>13</v>
      </c>
      <c r="D17" s="1" t="s">
        <v>14</v>
      </c>
    </row>
    <row r="18" spans="1:4" x14ac:dyDescent="0.3">
      <c r="A18" s="2" t="s">
        <v>5</v>
      </c>
      <c r="B18" s="3">
        <f>B4</f>
        <v>5000</v>
      </c>
      <c r="C18" s="3">
        <f>E11</f>
        <v>34000</v>
      </c>
      <c r="D18" s="3">
        <f>B18*C18</f>
        <v>170000000</v>
      </c>
    </row>
    <row r="19" spans="1:4" x14ac:dyDescent="0.3">
      <c r="A19" s="2" t="s">
        <v>6</v>
      </c>
      <c r="B19" s="3">
        <v>3000</v>
      </c>
      <c r="C19" s="3">
        <f>E12</f>
        <v>17000</v>
      </c>
      <c r="D19" s="3">
        <f>B19*C19</f>
        <v>51000000</v>
      </c>
    </row>
    <row r="20" spans="1:4" x14ac:dyDescent="0.3">
      <c r="A20" s="1" t="s">
        <v>4</v>
      </c>
      <c r="B20" s="4">
        <f>SUM(B18:B19)</f>
        <v>8000</v>
      </c>
      <c r="C20" s="1"/>
      <c r="D20" s="4">
        <f>SUM(D18:D19)</f>
        <v>221000000</v>
      </c>
    </row>
    <row r="23" spans="1:4" x14ac:dyDescent="0.3">
      <c r="C23" t="s">
        <v>15</v>
      </c>
      <c r="D23" s="10">
        <f>D6</f>
        <v>342000000</v>
      </c>
    </row>
    <row r="24" spans="1:4" ht="15" thickBot="1" x14ac:dyDescent="0.35">
      <c r="C24" s="11" t="s">
        <v>16</v>
      </c>
      <c r="D24" s="12">
        <f>D20</f>
        <v>221000000</v>
      </c>
    </row>
    <row r="25" spans="1:4" x14ac:dyDescent="0.3">
      <c r="C25" s="13" t="s">
        <v>17</v>
      </c>
      <c r="D25" s="14">
        <f>D23-D24</f>
        <v>121000000</v>
      </c>
    </row>
    <row r="26" spans="1:4" x14ac:dyDescent="0.3">
      <c r="C26" s="13" t="s">
        <v>18</v>
      </c>
      <c r="D26" s="15">
        <f>D25/D23</f>
        <v>0.35380116959064328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margin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Ramous Peppy</dc:creator>
  <cp:lastModifiedBy>Ramous Peppy</cp:lastModifiedBy>
  <dcterms:created xsi:type="dcterms:W3CDTF">2026-09-17T15:49:10Z</dcterms:created>
  <dcterms:modified xsi:type="dcterms:W3CDTF">2026-09-17T16:21:52Z</dcterms:modified>
</cp:coreProperties>
</file>